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dc7d73e5b6e8b0/RESUMES/Portfolio/"/>
    </mc:Choice>
  </mc:AlternateContent>
  <xr:revisionPtr revIDLastSave="0" documentId="8_{885EEE44-6605-4A36-994B-E8DC1FA9533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" sheetId="1" r:id="rId1"/>
    <sheet name="Time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A17" i="1" s="1"/>
  <c r="B16" i="1"/>
  <c r="A16" i="1" s="1"/>
  <c r="G15" i="1"/>
  <c r="B15" i="1"/>
  <c r="A15" i="1"/>
  <c r="G14" i="1"/>
  <c r="B14" i="1"/>
  <c r="A14" i="1"/>
  <c r="G13" i="1"/>
  <c r="B13" i="1"/>
  <c r="A13" i="1" s="1"/>
  <c r="G12" i="1"/>
  <c r="B12" i="1"/>
  <c r="A12" i="1"/>
  <c r="G11" i="1"/>
  <c r="A11" i="1"/>
  <c r="G18" i="1" l="1"/>
  <c r="G21" i="1" s="1"/>
</calcChain>
</file>

<file path=xl/sharedStrings.xml><?xml version="1.0" encoding="utf-8"?>
<sst xmlns="http://schemas.openxmlformats.org/spreadsheetml/2006/main" count="29" uniqueCount="27">
  <si>
    <t>Name:</t>
  </si>
  <si>
    <t xml:space="preserve">Luis G. Reyes Morales </t>
  </si>
  <si>
    <t>Title:</t>
  </si>
  <si>
    <t>Sr. Quality Engineer</t>
  </si>
  <si>
    <t>Customer:</t>
  </si>
  <si>
    <t>Minimed - Juncos</t>
  </si>
  <si>
    <t>Supervisor:</t>
  </si>
  <si>
    <t xml:space="preserve">Charlene González </t>
  </si>
  <si>
    <t>Week of:</t>
  </si>
  <si>
    <t>⏰  Times must be in 15-min steps  |  Start &lt; Lunch Out &lt; Lunch In &lt; End Time  |  Cells turn RED if a time order rule is violated  |  📅  Change yellow Monday date — rest of week auto-updates.</t>
  </si>
  <si>
    <t>Day</t>
  </si>
  <si>
    <t>Date</t>
  </si>
  <si>
    <t>Start
Time</t>
  </si>
  <si>
    <t>Lunch
Out</t>
  </si>
  <si>
    <t>Lunch
In</t>
  </si>
  <si>
    <t>End
Time</t>
  </si>
  <si>
    <t>Working
Hours</t>
  </si>
  <si>
    <t>Work Description</t>
  </si>
  <si>
    <t>Validation protocol testing &amp; IQ/OQ documentation review</t>
  </si>
  <si>
    <t>Equipment calibration verification and SOP update</t>
  </si>
  <si>
    <t>Change control review and deviations report</t>
  </si>
  <si>
    <t>Audit preparation – gap analysis documentation</t>
  </si>
  <si>
    <t>QA final inspection &amp; weekly report submittal</t>
  </si>
  <si>
    <t>TOTAL HOURS FOR THE WEEK</t>
  </si>
  <si>
    <t>Comments:</t>
  </si>
  <si>
    <t xml:space="preserve">Professional: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</si>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</sst>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&quot; hrs&quot;"/>
  </numFmts>
  <fonts count="12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595959"/>
      <name val="Times New Roman"/>
      <family val="1"/>
    </font>
    <font>
      <b/>
      <sz val="9"/>
      <color rgb="FFFFFFFF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BF3FB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F2CC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9D9D9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left"/>
    </xf>
    <xf numFmtId="0" fontId="10" fillId="8" borderId="4" xfId="0" applyFont="1" applyFill="1" applyBorder="1" applyAlignment="1">
      <alignment horizontal="right" vertical="center"/>
    </xf>
    <xf numFmtId="2" fontId="5" fillId="7" borderId="5" xfId="0" applyNumberFormat="1" applyFont="1" applyFill="1" applyBorder="1" applyAlignment="1">
      <alignment horizontal="center" vertical="center"/>
    </xf>
    <xf numFmtId="2" fontId="9" fillId="6" borderId="5" xfId="0" applyNumberFormat="1" applyFont="1" applyFill="1" applyBorder="1" applyAlignment="1">
      <alignment horizontal="left" vertical="center" wrapText="1"/>
    </xf>
    <xf numFmtId="2" fontId="9" fillId="5" borderId="5" xfId="0" applyNumberFormat="1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8" fontId="9" fillId="5" borderId="5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64" fontId="9" fillId="6" borderId="5" xfId="0" applyNumberFormat="1" applyFont="1" applyFill="1" applyBorder="1" applyAlignment="1">
      <alignment horizontal="center" vertical="center"/>
    </xf>
    <xf numFmtId="18" fontId="9" fillId="6" borderId="5" xfId="0" applyNumberFormat="1" applyFont="1" applyFill="1" applyBorder="1" applyAlignment="1">
      <alignment horizontal="center" vertical="center"/>
    </xf>
    <xf numFmtId="165" fontId="8" fillId="6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64" fontId="9" fillId="5" borderId="5" xfId="0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164" fontId="9" fillId="7" borderId="5" xfId="0" applyNumberFormat="1" applyFont="1" applyFill="1" applyBorder="1" applyAlignment="1">
      <alignment horizontal="center" vertical="center"/>
    </xf>
    <xf numFmtId="18" fontId="5" fillId="7" borderId="5" xfId="0" applyNumberFormat="1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165" fontId="10" fillId="8" borderId="5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8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65" fontId="4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18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1">
    <dxf>
      <font>
        <b/>
        <sz val="9"/>
        <color rgb="FFCC0000"/>
        <name val="Times New Roman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28440</xdr:rowOff>
    </xdr:from>
    <xdr:to>
      <xdr:col>2</xdr:col>
      <xdr:colOff>939990</xdr:colOff>
      <xdr:row>4</xdr:row>
      <xdr:rowOff>90360</xdr:rowOff>
    </xdr:to>
    <xdr:pic>
      <xdr:nvPicPr>
        <xdr:cNvPr id="2" name="Picture 1" descr="A blue and black logo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28440"/>
          <a:ext cx="2711880" cy="78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showGridLines="0" tabSelected="1" zoomScale="80" zoomScaleNormal="80" workbookViewId="0">
      <selection activeCell="A7" sqref="A7:XFD7"/>
    </sheetView>
  </sheetViews>
  <sheetFormatPr defaultColWidth="9.140625" defaultRowHeight="12.75" x14ac:dyDescent="0.2"/>
  <cols>
    <col min="1" max="1" width="13" style="8" customWidth="1"/>
    <col min="2" max="2" width="12" style="8" customWidth="1"/>
    <col min="3" max="3" width="31.85546875" style="8" customWidth="1"/>
    <col min="4" max="4" width="23.42578125" style="8" customWidth="1"/>
    <col min="5" max="5" width="22.140625" style="8" customWidth="1"/>
    <col min="6" max="6" width="24.42578125" style="8" customWidth="1"/>
    <col min="7" max="7" width="25.7109375" style="8" customWidth="1"/>
    <col min="8" max="10" width="20" style="8" customWidth="1"/>
    <col min="11" max="16384" width="9.140625" style="8"/>
  </cols>
  <sheetData>
    <row r="1" spans="1:10" ht="14.25" customHeight="1" x14ac:dyDescent="0.2">
      <c r="G1" s="9" t="s">
        <v>0</v>
      </c>
      <c r="H1" s="10" t="s">
        <v>1</v>
      </c>
      <c r="I1" s="10"/>
    </row>
    <row r="2" spans="1:10" ht="14.25" customHeight="1" x14ac:dyDescent="0.2">
      <c r="G2" s="9" t="s">
        <v>2</v>
      </c>
      <c r="H2" s="11" t="s">
        <v>3</v>
      </c>
      <c r="I2" s="11"/>
    </row>
    <row r="3" spans="1:10" ht="14.25" customHeight="1" x14ac:dyDescent="0.2">
      <c r="G3" s="9" t="s">
        <v>4</v>
      </c>
      <c r="H3" s="11" t="s">
        <v>5</v>
      </c>
      <c r="I3" s="11"/>
    </row>
    <row r="4" spans="1:10" ht="14.25" customHeight="1" x14ac:dyDescent="0.2">
      <c r="G4" s="9" t="s">
        <v>6</v>
      </c>
      <c r="H4" s="11" t="s">
        <v>7</v>
      </c>
      <c r="I4" s="11"/>
    </row>
    <row r="5" spans="1:10" ht="14.25" customHeight="1" x14ac:dyDescent="0.2">
      <c r="G5" s="12" t="s">
        <v>8</v>
      </c>
      <c r="H5" s="13">
        <v>46111</v>
      </c>
      <c r="I5" s="14"/>
    </row>
    <row r="7" spans="1:10" ht="15" customHeight="1" x14ac:dyDescent="0.2">
      <c r="A7" s="7" t="s">
        <v>9</v>
      </c>
      <c r="B7" s="7"/>
      <c r="C7" s="7"/>
      <c r="D7" s="7"/>
      <c r="E7" s="7"/>
      <c r="F7" s="7"/>
      <c r="G7" s="7"/>
      <c r="H7" s="7"/>
      <c r="I7" s="7"/>
      <c r="J7" s="7"/>
    </row>
    <row r="10" spans="1:10" s="17" customFormat="1" ht="30" customHeight="1" x14ac:dyDescent="0.2">
      <c r="A10" s="15" t="s">
        <v>10</v>
      </c>
      <c r="B10" s="15" t="s">
        <v>11</v>
      </c>
      <c r="C10" s="16" t="s">
        <v>12</v>
      </c>
      <c r="D10" s="16" t="s">
        <v>13</v>
      </c>
      <c r="E10" s="16" t="s">
        <v>14</v>
      </c>
      <c r="F10" s="16" t="s">
        <v>15</v>
      </c>
      <c r="G10" s="16" t="s">
        <v>16</v>
      </c>
      <c r="H10" s="6" t="s">
        <v>17</v>
      </c>
      <c r="I10" s="6"/>
      <c r="J10" s="6"/>
    </row>
    <row r="11" spans="1:10" ht="19.5" customHeight="1" x14ac:dyDescent="0.2">
      <c r="A11" s="18" t="str">
        <f t="shared" ref="A11:A17" si="0">TEXT(B11,"dddd")</f>
        <v>Monday</v>
      </c>
      <c r="B11" s="19">
        <v>46111</v>
      </c>
      <c r="C11" s="20">
        <v>0.33333333333333298</v>
      </c>
      <c r="D11" s="20">
        <v>0.5</v>
      </c>
      <c r="E11" s="20">
        <v>0.54166666666666696</v>
      </c>
      <c r="F11" s="20">
        <v>0.70833333333333304</v>
      </c>
      <c r="G11" s="21">
        <f>((F11-C11)-(E11-D11))*24</f>
        <v>7.9999999999999947</v>
      </c>
      <c r="H11" s="5" t="s">
        <v>18</v>
      </c>
      <c r="I11" s="5"/>
      <c r="J11" s="5"/>
    </row>
    <row r="12" spans="1:10" ht="19.5" customHeight="1" x14ac:dyDescent="0.2">
      <c r="A12" s="22" t="str">
        <f t="shared" si="0"/>
        <v>Tuesday</v>
      </c>
      <c r="B12" s="23">
        <f>B11+1</f>
        <v>46112</v>
      </c>
      <c r="C12" s="24">
        <v>0.33333333333333298</v>
      </c>
      <c r="D12" s="24">
        <v>0.5</v>
      </c>
      <c r="E12" s="24">
        <v>0.54166666666666696</v>
      </c>
      <c r="F12" s="24">
        <v>0.70833333333333304</v>
      </c>
      <c r="G12" s="25">
        <f>((F12-C12)-(E12-D12))*24</f>
        <v>7.9999999999999947</v>
      </c>
      <c r="H12" s="4" t="s">
        <v>19</v>
      </c>
      <c r="I12" s="4"/>
      <c r="J12" s="4"/>
    </row>
    <row r="13" spans="1:10" ht="19.5" customHeight="1" x14ac:dyDescent="0.2">
      <c r="A13" s="26" t="str">
        <f t="shared" si="0"/>
        <v>Wednesday</v>
      </c>
      <c r="B13" s="27">
        <f>B11+2</f>
        <v>46113</v>
      </c>
      <c r="C13" s="20">
        <v>0.33333333333333298</v>
      </c>
      <c r="D13" s="20">
        <v>0.5</v>
      </c>
      <c r="E13" s="20">
        <v>0.54166666666666696</v>
      </c>
      <c r="F13" s="20">
        <v>0.70833333333333304</v>
      </c>
      <c r="G13" s="21">
        <f>((F13-C13)-(E13-D13))*24</f>
        <v>7.9999999999999947</v>
      </c>
      <c r="H13" s="5" t="s">
        <v>20</v>
      </c>
      <c r="I13" s="5"/>
      <c r="J13" s="5"/>
    </row>
    <row r="14" spans="1:10" ht="19.5" customHeight="1" x14ac:dyDescent="0.2">
      <c r="A14" s="22" t="str">
        <f t="shared" si="0"/>
        <v>Thursday</v>
      </c>
      <c r="B14" s="23">
        <f>B11+3</f>
        <v>46114</v>
      </c>
      <c r="C14" s="24">
        <v>0.33333333333333298</v>
      </c>
      <c r="D14" s="24">
        <v>0.5</v>
      </c>
      <c r="E14" s="24">
        <v>0.54166666666666696</v>
      </c>
      <c r="F14" s="24">
        <v>0.70833333333333304</v>
      </c>
      <c r="G14" s="25">
        <f>((F14-C14)-(E14-D14))*24</f>
        <v>7.9999999999999947</v>
      </c>
      <c r="H14" s="4" t="s">
        <v>21</v>
      </c>
      <c r="I14" s="4"/>
      <c r="J14" s="4"/>
    </row>
    <row r="15" spans="1:10" ht="19.5" customHeight="1" x14ac:dyDescent="0.2">
      <c r="A15" s="26" t="str">
        <f t="shared" si="0"/>
        <v>Friday</v>
      </c>
      <c r="B15" s="27">
        <f>B11+4</f>
        <v>46115</v>
      </c>
      <c r="C15" s="20"/>
      <c r="D15" s="20"/>
      <c r="E15" s="20"/>
      <c r="F15" s="20"/>
      <c r="G15" s="21">
        <f>((F15-C15)-(E15-D15))*24</f>
        <v>0</v>
      </c>
      <c r="H15" s="5" t="s">
        <v>22</v>
      </c>
      <c r="I15" s="5"/>
      <c r="J15" s="5"/>
    </row>
    <row r="16" spans="1:10" ht="19.5" customHeight="1" x14ac:dyDescent="0.2">
      <c r="A16" s="28" t="str">
        <f t="shared" si="0"/>
        <v>Saturday</v>
      </c>
      <c r="B16" s="29">
        <f>B11+5</f>
        <v>46116</v>
      </c>
      <c r="C16" s="30"/>
      <c r="D16" s="30"/>
      <c r="E16" s="30"/>
      <c r="F16" s="30"/>
      <c r="G16" s="31"/>
      <c r="H16" s="3"/>
      <c r="I16" s="3"/>
      <c r="J16" s="3"/>
    </row>
    <row r="17" spans="1:10" ht="19.5" customHeight="1" x14ac:dyDescent="0.2">
      <c r="A17" s="28" t="str">
        <f t="shared" si="0"/>
        <v>Sunday</v>
      </c>
      <c r="B17" s="29">
        <f>B11+6</f>
        <v>46117</v>
      </c>
      <c r="C17" s="30"/>
      <c r="D17" s="30"/>
      <c r="E17" s="30"/>
      <c r="F17" s="30"/>
      <c r="G17" s="31"/>
      <c r="H17" s="3"/>
      <c r="I17" s="3"/>
      <c r="J17" s="3"/>
    </row>
    <row r="18" spans="1:10" ht="18" customHeight="1" x14ac:dyDescent="0.2">
      <c r="A18" s="2" t="s">
        <v>23</v>
      </c>
      <c r="B18" s="2"/>
      <c r="C18" s="2"/>
      <c r="D18" s="2"/>
      <c r="E18" s="2"/>
      <c r="F18" s="2"/>
      <c r="G18" s="32">
        <f>SUM(G11:G17)</f>
        <v>31.999999999999979</v>
      </c>
      <c r="H18" s="33"/>
      <c r="I18" s="33"/>
      <c r="J18" s="33"/>
    </row>
    <row r="19" spans="1:10" ht="12.75" customHeight="1" x14ac:dyDescent="0.2">
      <c r="A19" s="34"/>
      <c r="B19" s="35"/>
      <c r="C19" s="36"/>
      <c r="D19" s="36"/>
      <c r="E19" s="36"/>
      <c r="F19" s="36"/>
      <c r="G19" s="33"/>
      <c r="H19" s="33"/>
      <c r="I19" s="33"/>
      <c r="J19" s="33"/>
    </row>
    <row r="20" spans="1:10" ht="12.75" customHeight="1" x14ac:dyDescent="0.2">
      <c r="B20" s="37"/>
    </row>
    <row r="21" spans="1:10" ht="13.5" customHeight="1" x14ac:dyDescent="0.2">
      <c r="B21" s="37"/>
      <c r="G21" s="38">
        <f>G18</f>
        <v>31.999999999999979</v>
      </c>
      <c r="H21" s="39"/>
    </row>
    <row r="22" spans="1:10" ht="13.5" customHeight="1" x14ac:dyDescent="0.2"/>
    <row r="23" spans="1:10" ht="14.25" customHeight="1" x14ac:dyDescent="0.2">
      <c r="A23" s="40" t="s">
        <v>24</v>
      </c>
    </row>
    <row r="24" spans="1:10" ht="12.75" customHeight="1" x14ac:dyDescent="0.2">
      <c r="A24" s="41"/>
      <c r="B24" s="42"/>
      <c r="C24" s="42"/>
      <c r="D24" s="42"/>
      <c r="E24" s="42"/>
      <c r="F24" s="42"/>
      <c r="G24" s="42"/>
      <c r="H24" s="42"/>
      <c r="I24" s="42"/>
    </row>
    <row r="25" spans="1:10" ht="12.75" customHeight="1" x14ac:dyDescent="0.2">
      <c r="A25" s="43"/>
      <c r="B25" s="44"/>
      <c r="C25" s="44"/>
      <c r="D25" s="44"/>
      <c r="E25" s="44"/>
      <c r="F25" s="44"/>
      <c r="G25" s="44"/>
      <c r="H25" s="44"/>
      <c r="I25" s="44"/>
    </row>
    <row r="26" spans="1:10" ht="12.75" customHeight="1" x14ac:dyDescent="0.2">
      <c r="A26" s="44"/>
      <c r="B26" s="44"/>
      <c r="C26" s="44"/>
      <c r="D26" s="44"/>
      <c r="E26" s="44"/>
      <c r="F26" s="44"/>
      <c r="G26" s="44"/>
      <c r="H26" s="44"/>
      <c r="I26" s="44"/>
    </row>
    <row r="27" spans="1:10" ht="12.75" customHeight="1" x14ac:dyDescent="0.2">
      <c r="A27" s="44"/>
      <c r="B27" s="44"/>
      <c r="C27" s="44"/>
      <c r="D27" s="44"/>
      <c r="E27" s="44"/>
      <c r="F27" s="44"/>
      <c r="G27" s="44"/>
      <c r="H27" s="44"/>
      <c r="I27" s="44"/>
    </row>
    <row r="30" spans="1:10" ht="18" customHeight="1" x14ac:dyDescent="0.2">
      <c r="A30" s="40" t="s">
        <v>25</v>
      </c>
      <c r="B30" s="1"/>
      <c r="C30" s="1"/>
      <c r="D30" s="1"/>
      <c r="F30" s="45" t="s">
        <v>26</v>
      </c>
      <c r="G30" s="1"/>
      <c r="H30" s="1"/>
    </row>
    <row r="31" spans="1:10" ht="18" customHeight="1" x14ac:dyDescent="0.2">
      <c r="A31" s="46" t="s">
        <v>6</v>
      </c>
      <c r="B31" s="44"/>
      <c r="C31" s="44"/>
      <c r="D31" s="44"/>
      <c r="F31" s="45" t="s">
        <v>26</v>
      </c>
      <c r="G31" s="1"/>
      <c r="H31" s="1"/>
    </row>
    <row r="35" ht="17.25" customHeight="1" x14ac:dyDescent="0.2"/>
    <row r="36" ht="17.25" customHeight="1" x14ac:dyDescent="0.2"/>
  </sheetData>
  <mergeCells count="13">
    <mergeCell ref="B30:D30"/>
    <mergeCell ref="G30:H30"/>
    <mergeCell ref="G31:H31"/>
    <mergeCell ref="H14:J14"/>
    <mergeCell ref="H15:J15"/>
    <mergeCell ref="H16:J16"/>
    <mergeCell ref="H17:J17"/>
    <mergeCell ref="A18:F18"/>
    <mergeCell ref="A7:J7"/>
    <mergeCell ref="H10:J10"/>
    <mergeCell ref="H11:J11"/>
    <mergeCell ref="H12:J12"/>
    <mergeCell ref="H13:J13"/>
  </mergeCells>
  <conditionalFormatting sqref="D11:F17">
    <cfRule type="expression" dxfId="0" priority="2">
      <formula>AND(D11&lt;&gt;"",C11&lt;&gt;"",D11&lt;=C11)</formula>
    </cfRule>
  </conditionalFormatting>
  <pageMargins left="0.7" right="0.7" top="0.75" bottom="0.75" header="0.511811023622047" footer="0.3"/>
  <pageSetup orientation="landscape" horizontalDpi="300" verticalDpi="300"/>
  <headerFooter>
    <oddFooter>&amp;C&amp;"Garamond,Bold" &amp;K3d6ba2101 Méndez Vigo West, Suite 901-902, Mayagüez, PR 00680 | (787)827-8028 |accounts@eqvalpr.com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Invalid Time" error="Select a 15-min increment from the dropdown, or choose blank to clear." promptTitle="Start Time" prompt="Pick a time (15-min steps) or the blank at the top to clear the cell." xr:uid="{00000000-0002-0000-0000-000000000000}">
          <x14:formula1>
            <xm:f>TimeLists!$A$1:$A$73</xm:f>
          </x14:formula1>
          <x14:formula2>
            <xm:f>0</xm:f>
          </x14:formula2>
          <xm:sqref>C11:C17</xm:sqref>
        </x14:dataValidation>
        <x14:dataValidation type="list" allowBlank="1" showInputMessage="1" showErrorMessage="1" errorTitle="Lunch Out Invalid" error="Lunch Out must be later than Start Time. Select from dropdown or blank to clear." promptTitle="Lunch Out" prompt="Only times after Start Time are listed. Blank option at the bottom to clear." xr:uid="{00000000-0002-0000-0000-000001000000}">
          <x14:formula1>
            <xm:f>OFFSET(TimeLists!$A$1,IFERROR(MATCH(C11,TimeLists!$A$2:$A$73,0)+1,0),0,IFERROR(73-MATCH(C11,TimeLists!$A$2:$A$73,0),74),1)</xm:f>
          </x14:formula1>
          <x14:formula2>
            <xm:f>0</xm:f>
          </x14:formula2>
          <xm:sqref>D11:D17</xm:sqref>
        </x14:dataValidation>
        <x14:dataValidation type="list" allowBlank="1" showInputMessage="1" showErrorMessage="1" errorTitle="Lunch In Invalid" error="Lunch In must be later than Lunch Out. Select from dropdown or blank to clear." promptTitle="Lunch In" prompt="Only times after Lunch Out are listed. Blank option at the bottom to clear." xr:uid="{00000000-0002-0000-0000-000002000000}">
          <x14:formula1>
            <xm:f>OFFSET(TimeLists!$A$1,IFERROR(MATCH(D11,TimeLists!$A$2:$A$73,0)+1,0),0,IFERROR(73-MATCH(D11,TimeLists!$A$2:$A$73,0),74),1)</xm:f>
          </x14:formula1>
          <x14:formula2>
            <xm:f>0</xm:f>
          </x14:formula2>
          <xm:sqref>E11:E17</xm:sqref>
        </x14:dataValidation>
        <x14:dataValidation type="list" allowBlank="1" showInputMessage="1" showErrorMessage="1" errorTitle="End Time Invalid" error="End Time must be later than Lunch In. Select from dropdown or blank to clear." promptTitle="End Time" prompt="Only times after Lunch In are listed. Blank option at the bottom to clear." xr:uid="{00000000-0002-0000-0000-000003000000}">
          <x14:formula1>
            <xm:f>OFFSET(TimeLists!$A$1,IFERROR(MATCH(E11,TimeLists!$A$2:$A$73,0)+1,0),0,IFERROR(73-MATCH(E11,TimeLists!$A$2:$A$73,0),74),1)</xm:f>
          </x14:formula1>
          <x14:formula2>
            <xm:f>0</xm:f>
          </x14:formula2>
          <xm:sqref>F11:F17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3"/>
  <sheetViews>
    <sheetView zoomScaleNormal="100" workbookViewId="0"/>
  </sheetViews>
  <sheetFormatPr defaultColWidth="8.7109375" defaultRowHeight="12.75" x14ac:dyDescent="0.2"/>
  <sheetData>
    <row r="1" spans="1:1" ht="15" customHeight="1" x14ac:dyDescent="0.2">
      <c r="A1" s="47"/>
    </row>
    <row r="2" spans="1:1" ht="15" customHeight="1" x14ac:dyDescent="0.2">
      <c r="A2" s="47">
        <v>0.20833333333333301</v>
      </c>
    </row>
    <row r="3" spans="1:1" ht="15" customHeight="1" x14ac:dyDescent="0.2">
      <c r="A3" s="47">
        <v>0.21875</v>
      </c>
    </row>
    <row r="4" spans="1:1" ht="15" customHeight="1" x14ac:dyDescent="0.2">
      <c r="A4" s="47">
        <v>0.22916666666666699</v>
      </c>
    </row>
    <row r="5" spans="1:1" ht="15" customHeight="1" x14ac:dyDescent="0.2">
      <c r="A5" s="47">
        <v>0.23958333333333301</v>
      </c>
    </row>
    <row r="6" spans="1:1" ht="15" customHeight="1" x14ac:dyDescent="0.2">
      <c r="A6" s="47">
        <v>0.25</v>
      </c>
    </row>
    <row r="7" spans="1:1" ht="15" customHeight="1" x14ac:dyDescent="0.2">
      <c r="A7" s="47">
        <v>0.26041666666666702</v>
      </c>
    </row>
    <row r="8" spans="1:1" ht="15" customHeight="1" x14ac:dyDescent="0.2">
      <c r="A8" s="47">
        <v>0.27083333333333298</v>
      </c>
    </row>
    <row r="9" spans="1:1" ht="15" customHeight="1" x14ac:dyDescent="0.2">
      <c r="A9" s="47">
        <v>0.28125</v>
      </c>
    </row>
    <row r="10" spans="1:1" ht="15" customHeight="1" x14ac:dyDescent="0.2">
      <c r="A10" s="47">
        <v>0.29166666666666702</v>
      </c>
    </row>
    <row r="11" spans="1:1" ht="15" customHeight="1" x14ac:dyDescent="0.2">
      <c r="A11" s="47">
        <v>0.30208333333333298</v>
      </c>
    </row>
    <row r="12" spans="1:1" ht="15" customHeight="1" x14ac:dyDescent="0.2">
      <c r="A12" s="47">
        <v>0.3125</v>
      </c>
    </row>
    <row r="13" spans="1:1" ht="15" customHeight="1" x14ac:dyDescent="0.2">
      <c r="A13" s="47">
        <v>0.32291666666666702</v>
      </c>
    </row>
    <row r="14" spans="1:1" ht="15" customHeight="1" x14ac:dyDescent="0.2">
      <c r="A14" s="47">
        <v>0.33333333333333298</v>
      </c>
    </row>
    <row r="15" spans="1:1" ht="15" customHeight="1" x14ac:dyDescent="0.2">
      <c r="A15" s="47">
        <v>0.34375</v>
      </c>
    </row>
    <row r="16" spans="1:1" ht="15" customHeight="1" x14ac:dyDescent="0.2">
      <c r="A16" s="47">
        <v>0.35416666666666702</v>
      </c>
    </row>
    <row r="17" spans="1:1" ht="15" customHeight="1" x14ac:dyDescent="0.2">
      <c r="A17" s="47">
        <v>0.36458333333333298</v>
      </c>
    </row>
    <row r="18" spans="1:1" ht="15" customHeight="1" x14ac:dyDescent="0.2">
      <c r="A18" s="47">
        <v>0.375</v>
      </c>
    </row>
    <row r="19" spans="1:1" ht="15" customHeight="1" x14ac:dyDescent="0.2">
      <c r="A19" s="47">
        <v>0.38541666666666702</v>
      </c>
    </row>
    <row r="20" spans="1:1" ht="15" customHeight="1" x14ac:dyDescent="0.2">
      <c r="A20" s="47">
        <v>0.39583333333333298</v>
      </c>
    </row>
    <row r="21" spans="1:1" ht="15" customHeight="1" x14ac:dyDescent="0.2">
      <c r="A21" s="47">
        <v>0.40625</v>
      </c>
    </row>
    <row r="22" spans="1:1" ht="15" customHeight="1" x14ac:dyDescent="0.2">
      <c r="A22" s="47">
        <v>0.41666666666666702</v>
      </c>
    </row>
    <row r="23" spans="1:1" ht="15" customHeight="1" x14ac:dyDescent="0.2">
      <c r="A23" s="47">
        <v>0.42708333333333298</v>
      </c>
    </row>
    <row r="24" spans="1:1" ht="15" customHeight="1" x14ac:dyDescent="0.2">
      <c r="A24" s="47">
        <v>0.4375</v>
      </c>
    </row>
    <row r="25" spans="1:1" ht="15" customHeight="1" x14ac:dyDescent="0.2">
      <c r="A25" s="47">
        <v>0.44791666666666702</v>
      </c>
    </row>
    <row r="26" spans="1:1" ht="15" customHeight="1" x14ac:dyDescent="0.2">
      <c r="A26" s="47">
        <v>0.45833333333333298</v>
      </c>
    </row>
    <row r="27" spans="1:1" ht="15" customHeight="1" x14ac:dyDescent="0.2">
      <c r="A27" s="47">
        <v>0.46875</v>
      </c>
    </row>
    <row r="28" spans="1:1" ht="15" customHeight="1" x14ac:dyDescent="0.2">
      <c r="A28" s="47">
        <v>0.47916666666666702</v>
      </c>
    </row>
    <row r="29" spans="1:1" ht="15" customHeight="1" x14ac:dyDescent="0.2">
      <c r="A29" s="47">
        <v>0.48958333333333298</v>
      </c>
    </row>
    <row r="30" spans="1:1" ht="15" customHeight="1" x14ac:dyDescent="0.2">
      <c r="A30" s="47">
        <v>0.5</v>
      </c>
    </row>
    <row r="31" spans="1:1" ht="15" customHeight="1" x14ac:dyDescent="0.2">
      <c r="A31" s="47">
        <v>0.51041666666666696</v>
      </c>
    </row>
    <row r="32" spans="1:1" ht="15" customHeight="1" x14ac:dyDescent="0.2">
      <c r="A32" s="47">
        <v>0.52083333333333304</v>
      </c>
    </row>
    <row r="33" spans="1:1" ht="15" customHeight="1" x14ac:dyDescent="0.2">
      <c r="A33" s="47">
        <v>0.53125</v>
      </c>
    </row>
    <row r="34" spans="1:1" ht="15" customHeight="1" x14ac:dyDescent="0.2">
      <c r="A34" s="47">
        <v>0.54166666666666696</v>
      </c>
    </row>
    <row r="35" spans="1:1" ht="15" customHeight="1" x14ac:dyDescent="0.2">
      <c r="A35" s="47">
        <v>0.55208333333333304</v>
      </c>
    </row>
    <row r="36" spans="1:1" ht="15" customHeight="1" x14ac:dyDescent="0.2">
      <c r="A36" s="47">
        <v>0.5625</v>
      </c>
    </row>
    <row r="37" spans="1:1" ht="15" customHeight="1" x14ac:dyDescent="0.2">
      <c r="A37" s="47">
        <v>0.57291666666666696</v>
      </c>
    </row>
    <row r="38" spans="1:1" ht="15" customHeight="1" x14ac:dyDescent="0.2">
      <c r="A38" s="47">
        <v>0.58333333333333304</v>
      </c>
    </row>
    <row r="39" spans="1:1" ht="15" customHeight="1" x14ac:dyDescent="0.2">
      <c r="A39" s="47">
        <v>0.59375</v>
      </c>
    </row>
    <row r="40" spans="1:1" ht="15" customHeight="1" x14ac:dyDescent="0.2">
      <c r="A40" s="47">
        <v>0.60416666666666696</v>
      </c>
    </row>
    <row r="41" spans="1:1" ht="15" customHeight="1" x14ac:dyDescent="0.2">
      <c r="A41" s="47">
        <v>0.61458333333333304</v>
      </c>
    </row>
    <row r="42" spans="1:1" ht="15" customHeight="1" x14ac:dyDescent="0.2">
      <c r="A42" s="47">
        <v>0.625</v>
      </c>
    </row>
    <row r="43" spans="1:1" ht="15" customHeight="1" x14ac:dyDescent="0.2">
      <c r="A43" s="47">
        <v>0.63541666666666696</v>
      </c>
    </row>
    <row r="44" spans="1:1" ht="15" customHeight="1" x14ac:dyDescent="0.2">
      <c r="A44" s="47">
        <v>0.64583333333333304</v>
      </c>
    </row>
    <row r="45" spans="1:1" ht="15" customHeight="1" x14ac:dyDescent="0.2">
      <c r="A45" s="47">
        <v>0.65625</v>
      </c>
    </row>
    <row r="46" spans="1:1" ht="15" customHeight="1" x14ac:dyDescent="0.2">
      <c r="A46" s="47">
        <v>0.66666666666666696</v>
      </c>
    </row>
    <row r="47" spans="1:1" ht="15" customHeight="1" x14ac:dyDescent="0.2">
      <c r="A47" s="47">
        <v>0.67708333333333304</v>
      </c>
    </row>
    <row r="48" spans="1:1" ht="15" customHeight="1" x14ac:dyDescent="0.2">
      <c r="A48" s="47">
        <v>0.6875</v>
      </c>
    </row>
    <row r="49" spans="1:1" ht="15" customHeight="1" x14ac:dyDescent="0.2">
      <c r="A49" s="47">
        <v>0.69791666666666696</v>
      </c>
    </row>
    <row r="50" spans="1:1" ht="15" customHeight="1" x14ac:dyDescent="0.2">
      <c r="A50" s="47">
        <v>0.70833333333333304</v>
      </c>
    </row>
    <row r="51" spans="1:1" ht="15" customHeight="1" x14ac:dyDescent="0.2">
      <c r="A51" s="47">
        <v>0.71875</v>
      </c>
    </row>
    <row r="52" spans="1:1" ht="15" customHeight="1" x14ac:dyDescent="0.2">
      <c r="A52" s="47">
        <v>0.72916666666666696</v>
      </c>
    </row>
    <row r="53" spans="1:1" ht="15" customHeight="1" x14ac:dyDescent="0.2">
      <c r="A53" s="47">
        <v>0.73958333333333304</v>
      </c>
    </row>
    <row r="54" spans="1:1" ht="15" customHeight="1" x14ac:dyDescent="0.2">
      <c r="A54" s="47">
        <v>0.75</v>
      </c>
    </row>
    <row r="55" spans="1:1" ht="15" customHeight="1" x14ac:dyDescent="0.2">
      <c r="A55" s="47">
        <v>0.76041666666666696</v>
      </c>
    </row>
    <row r="56" spans="1:1" ht="15" customHeight="1" x14ac:dyDescent="0.2">
      <c r="A56" s="47">
        <v>0.77083333333333304</v>
      </c>
    </row>
    <row r="57" spans="1:1" ht="15" customHeight="1" x14ac:dyDescent="0.2">
      <c r="A57" s="47">
        <v>0.78125</v>
      </c>
    </row>
    <row r="58" spans="1:1" ht="15" customHeight="1" x14ac:dyDescent="0.2">
      <c r="A58" s="47">
        <v>0.79166666666666696</v>
      </c>
    </row>
    <row r="59" spans="1:1" ht="15" customHeight="1" x14ac:dyDescent="0.2">
      <c r="A59" s="47">
        <v>0.80208333333333304</v>
      </c>
    </row>
    <row r="60" spans="1:1" ht="15" customHeight="1" x14ac:dyDescent="0.2">
      <c r="A60" s="47">
        <v>0.8125</v>
      </c>
    </row>
    <row r="61" spans="1:1" ht="15" customHeight="1" x14ac:dyDescent="0.2">
      <c r="A61" s="47">
        <v>0.82291666666666696</v>
      </c>
    </row>
    <row r="62" spans="1:1" ht="15" customHeight="1" x14ac:dyDescent="0.2">
      <c r="A62" s="47">
        <v>0.83333333333333304</v>
      </c>
    </row>
    <row r="63" spans="1:1" ht="15" customHeight="1" x14ac:dyDescent="0.2">
      <c r="A63" s="47">
        <v>0.84375</v>
      </c>
    </row>
    <row r="64" spans="1:1" ht="15" customHeight="1" x14ac:dyDescent="0.2">
      <c r="A64" s="47">
        <v>0.85416666666666696</v>
      </c>
    </row>
    <row r="65" spans="1:1" ht="15" customHeight="1" x14ac:dyDescent="0.2">
      <c r="A65" s="47">
        <v>0.86458333333333304</v>
      </c>
    </row>
    <row r="66" spans="1:1" ht="15" customHeight="1" x14ac:dyDescent="0.2">
      <c r="A66" s="47">
        <v>0.875</v>
      </c>
    </row>
    <row r="67" spans="1:1" ht="15" customHeight="1" x14ac:dyDescent="0.2">
      <c r="A67" s="47">
        <v>0.88541666666666696</v>
      </c>
    </row>
    <row r="68" spans="1:1" ht="15" customHeight="1" x14ac:dyDescent="0.2">
      <c r="A68" s="47">
        <v>0.89583333333333304</v>
      </c>
    </row>
    <row r="69" spans="1:1" ht="15" customHeight="1" x14ac:dyDescent="0.2">
      <c r="A69" s="47">
        <v>0.90625</v>
      </c>
    </row>
    <row r="70" spans="1:1" ht="15" customHeight="1" x14ac:dyDescent="0.2">
      <c r="A70" s="47">
        <v>0.91666666666666696</v>
      </c>
    </row>
    <row r="71" spans="1:1" ht="15" customHeight="1" x14ac:dyDescent="0.2">
      <c r="A71" s="47">
        <v>0.92708333333333304</v>
      </c>
    </row>
    <row r="72" spans="1:1" ht="15" customHeight="1" x14ac:dyDescent="0.2">
      <c r="A72" s="47">
        <v>0.9375</v>
      </c>
    </row>
    <row r="73" spans="1:1" ht="15" customHeight="1" x14ac:dyDescent="0.2">
      <c r="A73" s="47">
        <v>0.94791666666666696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TimeLists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Pagán</dc:creator>
  <dc:description/>
  <cp:lastModifiedBy>Luis Reyes</cp:lastModifiedBy>
  <cp:revision>0</cp:revision>
  <cp:lastPrinted>2026-03-10T16:16:10Z</cp:lastPrinted>
  <dcterms:created xsi:type="dcterms:W3CDTF">2007-01-30T17:02:31Z</dcterms:created>
  <dcterms:modified xsi:type="dcterms:W3CDTF">2026-03-26T00:23:15Z</dcterms:modified>
  <dc:language>en-US</dc:language>
</cp:coreProperties>
</file>